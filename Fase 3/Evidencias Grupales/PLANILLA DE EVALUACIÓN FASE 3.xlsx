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15\"/>
    </mc:Choice>
  </mc:AlternateContent>
  <xr:revisionPtr revIDLastSave="0" documentId="13_ncr:1_{FF3B12AF-3EBC-409C-B61A-88C5B3EA0D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B103" i="1"/>
  <c r="B104" i="1"/>
  <c r="B105" i="1"/>
  <c r="B106" i="1"/>
  <c r="B107" i="1"/>
  <c r="B108" i="1"/>
  <c r="B102" i="1"/>
  <c r="B100" i="1"/>
  <c r="J108" i="1"/>
  <c r="K108" i="1" s="1"/>
  <c r="H108" i="1"/>
  <c r="I108" i="1" s="1"/>
  <c r="F108" i="1"/>
  <c r="G108" i="1" s="1"/>
  <c r="E108" i="1"/>
  <c r="D108" i="1"/>
  <c r="J107" i="1"/>
  <c r="K107" i="1" s="1"/>
  <c r="H107" i="1"/>
  <c r="I107" i="1" s="1"/>
  <c r="F107" i="1"/>
  <c r="G107" i="1" s="1"/>
  <c r="D107" i="1"/>
  <c r="E107" i="1" s="1"/>
  <c r="K106" i="1"/>
  <c r="J106" i="1"/>
  <c r="I106" i="1"/>
  <c r="H106" i="1"/>
  <c r="F106" i="1"/>
  <c r="G106" i="1" s="1"/>
  <c r="D106" i="1"/>
  <c r="E106" i="1" s="1"/>
  <c r="J105" i="1"/>
  <c r="K105" i="1" s="1"/>
  <c r="H105" i="1"/>
  <c r="I105" i="1" s="1"/>
  <c r="F105" i="1"/>
  <c r="G105" i="1" s="1"/>
  <c r="D105" i="1"/>
  <c r="E105" i="1" s="1"/>
  <c r="J104" i="1"/>
  <c r="K104" i="1" s="1"/>
  <c r="H104" i="1"/>
  <c r="I104" i="1" s="1"/>
  <c r="F104" i="1"/>
  <c r="G104" i="1" s="1"/>
  <c r="E104" i="1"/>
  <c r="D104" i="1"/>
  <c r="J103" i="1"/>
  <c r="K103" i="1" s="1"/>
  <c r="H103" i="1"/>
  <c r="I103" i="1" s="1"/>
  <c r="F103" i="1"/>
  <c r="G103" i="1" s="1"/>
  <c r="D103" i="1"/>
  <c r="E103" i="1" s="1"/>
  <c r="K102" i="1"/>
  <c r="J102" i="1"/>
  <c r="I102" i="1"/>
  <c r="I109" i="1" s="1"/>
  <c r="H102" i="1"/>
  <c r="F102" i="1"/>
  <c r="G102" i="1" s="1"/>
  <c r="D102" i="1"/>
  <c r="E102" i="1" s="1"/>
  <c r="B54" i="1"/>
  <c r="B55" i="1"/>
  <c r="B56" i="1"/>
  <c r="B57" i="1"/>
  <c r="B53" i="1"/>
  <c r="B52" i="1"/>
  <c r="B51" i="1"/>
  <c r="B49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G55" i="1"/>
  <c r="E55" i="1"/>
  <c r="J54" i="1"/>
  <c r="K54" i="1" s="1"/>
  <c r="I54" i="1"/>
  <c r="H54" i="1"/>
  <c r="F54" i="1"/>
  <c r="G54" i="1" s="1"/>
  <c r="D54" i="1"/>
  <c r="E54" i="1" s="1"/>
  <c r="K53" i="1"/>
  <c r="J53" i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E51" i="1"/>
  <c r="D51" i="1"/>
  <c r="B87" i="1"/>
  <c r="B74" i="1"/>
  <c r="B61" i="1"/>
  <c r="B90" i="1"/>
  <c r="B91" i="1"/>
  <c r="B92" i="1"/>
  <c r="B93" i="1"/>
  <c r="B94" i="1"/>
  <c r="B95" i="1"/>
  <c r="B89" i="1"/>
  <c r="B77" i="1"/>
  <c r="B78" i="1"/>
  <c r="B79" i="1"/>
  <c r="B80" i="1"/>
  <c r="B81" i="1"/>
  <c r="B82" i="1"/>
  <c r="B76" i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G91" i="1"/>
  <c r="F91" i="1"/>
  <c r="D91" i="1"/>
  <c r="E91" i="1" s="1"/>
  <c r="J90" i="1"/>
  <c r="K90" i="1" s="1"/>
  <c r="H90" i="1"/>
  <c r="I90" i="1" s="1"/>
  <c r="F90" i="1"/>
  <c r="G90" i="1" s="1"/>
  <c r="D90" i="1"/>
  <c r="E90" i="1" s="1"/>
  <c r="J89" i="1"/>
  <c r="K89" i="1" s="1"/>
  <c r="H89" i="1"/>
  <c r="I89" i="1" s="1"/>
  <c r="F89" i="1"/>
  <c r="G89" i="1" s="1"/>
  <c r="D89" i="1"/>
  <c r="E89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7" i="1"/>
  <c r="K77" i="1" s="1"/>
  <c r="H77" i="1"/>
  <c r="I77" i="1" s="1"/>
  <c r="F77" i="1"/>
  <c r="G77" i="1" s="1"/>
  <c r="D77" i="1"/>
  <c r="E77" i="1" s="1"/>
  <c r="J76" i="1"/>
  <c r="K76" i="1" s="1"/>
  <c r="H76" i="1"/>
  <c r="I76" i="1" s="1"/>
  <c r="F76" i="1"/>
  <c r="G76" i="1" s="1"/>
  <c r="D76" i="1"/>
  <c r="E76" i="1" s="1"/>
  <c r="B37" i="1"/>
  <c r="B24" i="1"/>
  <c r="B11" i="1"/>
  <c r="B64" i="1"/>
  <c r="B65" i="1"/>
  <c r="B66" i="1"/>
  <c r="B67" i="1"/>
  <c r="B68" i="1"/>
  <c r="B69" i="1"/>
  <c r="B63" i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G65" i="1"/>
  <c r="E65" i="1"/>
  <c r="J64" i="1"/>
  <c r="K64" i="1" s="1"/>
  <c r="H64" i="1"/>
  <c r="I64" i="1" s="1"/>
  <c r="F64" i="1"/>
  <c r="G64" i="1" s="1"/>
  <c r="D64" i="1"/>
  <c r="E64" i="1" s="1"/>
  <c r="J63" i="1"/>
  <c r="K63" i="1" s="1"/>
  <c r="H63" i="1"/>
  <c r="I63" i="1" s="1"/>
  <c r="F63" i="1"/>
  <c r="G63" i="1" s="1"/>
  <c r="D63" i="1"/>
  <c r="E63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G43" i="1"/>
  <c r="E43" i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G58" i="1" l="1"/>
  <c r="K109" i="1"/>
  <c r="E109" i="1"/>
  <c r="G109" i="1"/>
  <c r="I58" i="1"/>
  <c r="K58" i="1"/>
  <c r="E58" i="1"/>
  <c r="E83" i="1"/>
  <c r="G46" i="1"/>
  <c r="E33" i="1"/>
  <c r="G33" i="1"/>
  <c r="K96" i="1"/>
  <c r="E96" i="1"/>
  <c r="I96" i="1"/>
  <c r="G96" i="1"/>
  <c r="G83" i="1"/>
  <c r="I83" i="1"/>
  <c r="K83" i="1"/>
  <c r="E70" i="1"/>
  <c r="K70" i="1"/>
  <c r="G70" i="1"/>
  <c r="I70" i="1"/>
  <c r="K46" i="1"/>
  <c r="I46" i="1"/>
  <c r="E46" i="1"/>
  <c r="I33" i="1"/>
  <c r="K33" i="1"/>
  <c r="C109" i="1" l="1"/>
  <c r="C110" i="1" s="1"/>
  <c r="C58" i="1"/>
  <c r="C59" i="1" s="1"/>
  <c r="C7" i="1" s="1"/>
  <c r="C33" i="1"/>
  <c r="C34" i="1" s="1"/>
  <c r="C5" i="1" s="1"/>
  <c r="D5" i="1" s="1"/>
  <c r="C46" i="1"/>
  <c r="C47" i="1" s="1"/>
  <c r="C6" i="1" s="1"/>
  <c r="D6" i="1" s="1"/>
  <c r="C83" i="1"/>
  <c r="C84" i="1" s="1"/>
  <c r="C70" i="1"/>
  <c r="C71" i="1" s="1"/>
  <c r="C96" i="1"/>
  <c r="C97" i="1" s="1"/>
  <c r="D7" i="1" l="1"/>
  <c r="E7" i="1" s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<sst xmlns="http://schemas.openxmlformats.org/spreadsheetml/2006/main" count="209" uniqueCount="69">
  <si>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</si>
  <si>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</si>
  <si>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</si>
  <si>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</si>
  <si>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</si>
  <si>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</si>
  <si>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</si>
  <si>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</si>
  <si>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</si>
  <si>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</si>
  <si>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</si>
  <si>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</si>
  <si>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</si>
  <si>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</si>
  <si>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</si>
  <si>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</si>
  <si>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</si>
  <si>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</si>
  <si>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</si>
  <si>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</si>
  <si>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</si>
  <si>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</si>
  <si>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</si>
  <si>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</si>
  <si>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</si>
  <si>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</si>
  <si>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</si>
  <si>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</si>
  <si>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</si>
  <si>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</si>
  <si>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</si>
  <si>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</si>
  <si>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</si>
  <si>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</si>
  <si>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</si>
  <si>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</si>
  <si>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</si>
  <si>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</si>
  <si>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</si>
  <si>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</si>
  <si>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</si>
  <si>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</si>
  <si>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</si>
  <si>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</si>
  <si>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</si>
  <si>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</si>
  <si>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</si>
  <si>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</si>
  <si>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</si>
  <si>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</si>
  <si>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</si>
  <si>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</si>
  <si>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</si>
  <si>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</si>
  <si>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</si>
  <si>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</si>
  <si>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</si>
  <si>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</si>
  <si>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</si>
  <si>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</si>
  <si>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</si>
  <si>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</si>
  <si>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</si>
  <si>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CASTILLO PIZARRO LUCAS IGNACIO</t>
  </si>
  <si>
    <t>ESPINOZA REYES PRISCILA MARGARITA</t>
  </si>
  <si>
    <t>MONTES LORCA LUIS ALBERTO</t>
  </si>
  <si>
    <t>RIVEROS ROJAS CATALINA ANDREA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</si>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</sst>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08"/>
  <sheetViews>
    <sheetView tabSelected="1" zoomScale="120" zoomScaleNormal="120" workbookViewId="0">
      <selection activeCell="G9" sqref="G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6.9</v>
      </c>
      <c r="D4" s="36">
        <f>C4</f>
        <v>6.9</v>
      </c>
      <c r="E4" s="35">
        <f>C4*C$2+D4*D$2</f>
        <v>6.9</v>
      </c>
    </row>
    <row r="5" spans="1:11" x14ac:dyDescent="0.25">
      <c r="A5" s="3">
        <v>2</v>
      </c>
      <c r="B5" s="38" t="s">
        <v>64</v>
      </c>
      <c r="C5" s="30">
        <f>C34</f>
        <v>6.9</v>
      </c>
      <c r="D5" s="36">
        <f t="shared" ref="D5:D7" si="0">C5</f>
        <v>6.9</v>
      </c>
      <c r="E5" s="35">
        <f t="shared" ref="E5:E7" si="1">C5*C$2+D5*D$2</f>
        <v>6.9</v>
      </c>
    </row>
    <row r="6" spans="1:11" x14ac:dyDescent="0.25">
      <c r="A6" s="3">
        <v>3</v>
      </c>
      <c r="B6" s="38" t="s">
        <v>65</v>
      </c>
      <c r="C6" s="30">
        <f>C47</f>
        <v>6.9</v>
      </c>
      <c r="D6" s="36">
        <f t="shared" si="0"/>
        <v>6.9</v>
      </c>
      <c r="E6" s="35">
        <f t="shared" si="1"/>
        <v>6.9</v>
      </c>
    </row>
    <row r="7" spans="1:11" ht="15" customHeight="1" x14ac:dyDescent="0.25">
      <c r="A7" s="3">
        <v>4</v>
      </c>
      <c r="B7" s="38" t="s">
        <v>66</v>
      </c>
      <c r="C7" s="30">
        <f>C59</f>
        <v>6.9</v>
      </c>
      <c r="D7" s="36">
        <f t="shared" si="0"/>
        <v>6.9</v>
      </c>
      <c r="E7" s="35">
        <f t="shared" si="1"/>
        <v>6.9</v>
      </c>
    </row>
    <row r="11" spans="1:11" ht="18.75" outlineLevel="1" x14ac:dyDescent="0.25">
      <c r="A11" s="39" t="s">
        <v>4</v>
      </c>
      <c r="B11" s="11" t="str">
        <f>B4</f>
        <v>CASTILLO PIZARRO LUCAS IGNACIO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">
        <v>68</v>
      </c>
      <c r="E17" s="12" t="str">
        <f>IF(D17="X",100*0.05,"")</f>
        <v/>
      </c>
      <c r="F17" s="12" t="s">
        <v>67</v>
      </c>
      <c r="G17" s="12">
        <f>IF(F17="X",60*0.05,"")</f>
        <v>3</v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98</v>
      </c>
      <c r="D20" s="13"/>
      <c r="E20" s="13">
        <f>SUM(E13:E19)</f>
        <v>95</v>
      </c>
      <c r="F20" s="13"/>
      <c r="G20" s="13">
        <f>SUM(G13:G19)</f>
        <v>3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6.9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ESPINOZA REYES PRISCILA MARGARITA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">
        <v>68</v>
      </c>
      <c r="E30" s="12" t="str">
        <f>IF(D30="X",100*0.05,"")</f>
        <v/>
      </c>
      <c r="F30" s="12" t="s">
        <v>67</v>
      </c>
      <c r="G30" s="12">
        <f>IF(F30="X",60*0.05,"")</f>
        <v>3</v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">
      <c r="A33" s="40"/>
      <c r="B33" s="17" t="s">
        <v>12</v>
      </c>
      <c r="C33" s="21">
        <f>E33+G33+I33+K33</f>
        <v>98</v>
      </c>
      <c r="D33" s="13"/>
      <c r="E33" s="13">
        <f>SUM(E26:E32)</f>
        <v>95</v>
      </c>
      <c r="F33" s="13"/>
      <c r="G33" s="13">
        <f>SUM(G26:G32)</f>
        <v>3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6.9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MONTES LORCA LUIS ALBERTO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">
        <v>68</v>
      </c>
      <c r="E43" s="12" t="str">
        <f>IF(D43="X",100*0.05,"")</f>
        <v/>
      </c>
      <c r="F43" s="12" t="s">
        <v>67</v>
      </c>
      <c r="G43" s="12">
        <f>IF(F43="X",60*0.05,"")</f>
        <v>3</v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">
      <c r="A46" s="40"/>
      <c r="B46" s="17" t="s">
        <v>12</v>
      </c>
      <c r="C46" s="21">
        <f>E46+G46+I46+K46</f>
        <v>98</v>
      </c>
      <c r="D46" s="13"/>
      <c r="E46" s="13">
        <f>SUM(E39:E45)</f>
        <v>95</v>
      </c>
      <c r="F46" s="13"/>
      <c r="G46" s="13">
        <f>SUM(G39:G45)</f>
        <v>3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6.9</v>
      </c>
    </row>
    <row r="48" spans="1:11" ht="15.75" customHeight="1" x14ac:dyDescent="0.25"/>
    <row r="49" spans="1:11" ht="24" customHeight="1" x14ac:dyDescent="0.25">
      <c r="A49" s="39" t="s">
        <v>4</v>
      </c>
      <c r="B49" s="11" t="str">
        <f>B7</f>
        <v>RIVEROS ROJAS CATALINA ANDREA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24" customHeight="1" x14ac:dyDescent="0.25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4" customHeight="1" x14ac:dyDescent="0.25">
      <c r="A51" s="41"/>
      <c r="B51" s="18" t="str">
        <f>RUBRICA!A4</f>
        <v xml:space="preserve">1. Presenta el proyecto considerando la relevancia, objetivos, metodología y desarrollo, de acuerdo a los estándares de calidad de la disciplina. </v>
      </c>
      <c r="C51" s="16" t="s">
        <v>8</v>
      </c>
      <c r="D51" s="12" t="str">
        <f t="shared" ref="D51:D55" si="18">IF($C51=CL,"X","")</f>
        <v>X</v>
      </c>
      <c r="E51" s="12">
        <f>IF(D51="X",100*0.15,"")</f>
        <v>15</v>
      </c>
      <c r="F51" s="12" t="str">
        <f t="shared" ref="F51:F55" si="19">IF($C51=L,"X","")</f>
        <v/>
      </c>
      <c r="G51" s="12" t="str">
        <f>IF(F51="X",60*0.15,"")</f>
        <v/>
      </c>
      <c r="H51" s="12" t="str">
        <f t="shared" ref="H51:H55" si="20">IF($C51=ML,"X","")</f>
        <v/>
      </c>
      <c r="I51" s="12" t="str">
        <f>IF(H51="X",30*0.15,"")</f>
        <v/>
      </c>
      <c r="J51" s="12" t="str">
        <f t="shared" ref="J51:J55" si="21">IF($C51=NL,"X","")</f>
        <v/>
      </c>
      <c r="K51" s="12" t="str">
        <f t="shared" ref="K51:K57" si="22">IF($J51="X",0,"")</f>
        <v/>
      </c>
    </row>
    <row r="52" spans="1:11" ht="24" customHeight="1" x14ac:dyDescent="0.25">
      <c r="A52" s="41"/>
      <c r="B52" s="18" t="str">
        <f>RUBRICA!A5</f>
        <v xml:space="preserve">2. Presenta las evidencias del Proyecto APT, dando cuenta del cumplimiento de los objetivos y de acuerdo a los estándares de la disciplina. </v>
      </c>
      <c r="C52" s="16" t="s">
        <v>8</v>
      </c>
      <c r="D52" s="12" t="str">
        <f t="shared" si="18"/>
        <v>X</v>
      </c>
      <c r="E52" s="12">
        <f>IF(D52="X",100*0.25,"")</f>
        <v>25</v>
      </c>
      <c r="F52" s="12" t="str">
        <f t="shared" si="19"/>
        <v/>
      </c>
      <c r="G52" s="12" t="str">
        <f>IF(F52="X",60*0.25,"")</f>
        <v/>
      </c>
      <c r="H52" s="12" t="str">
        <f t="shared" si="20"/>
        <v/>
      </c>
      <c r="I52" s="12" t="str">
        <f>IF(H52="X",30*0.25,"")</f>
        <v/>
      </c>
      <c r="J52" s="12" t="str">
        <f t="shared" si="21"/>
        <v/>
      </c>
      <c r="K52" s="12" t="str">
        <f t="shared" si="22"/>
        <v/>
      </c>
    </row>
    <row r="53" spans="1:11" ht="24" customHeight="1" x14ac:dyDescent="0.25">
      <c r="A53" s="41"/>
      <c r="B53" s="18" t="str">
        <f>RUBRICA!A6</f>
        <v>3. Responde las preguntas realizadas por la comisión, cumpliendo con los estándares de calidad de la disciplina.</v>
      </c>
      <c r="C53" s="16" t="s">
        <v>8</v>
      </c>
      <c r="D53" s="12" t="str">
        <f t="shared" si="18"/>
        <v>X</v>
      </c>
      <c r="E53" s="12">
        <f>IF(D53="X",100*0.2,"")</f>
        <v>20</v>
      </c>
      <c r="F53" s="12" t="str">
        <f t="shared" si="19"/>
        <v/>
      </c>
      <c r="G53" s="12" t="str">
        <f>IF(F53="X",60*0.2,"")</f>
        <v/>
      </c>
      <c r="H53" s="12" t="str">
        <f t="shared" si="20"/>
        <v/>
      </c>
      <c r="I53" s="12" t="str">
        <f>IF(H53="X",30*0.2,"")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5">
      <c r="A54" s="41"/>
      <c r="B54" s="18" t="str">
        <f>RUBRICA!A7</f>
        <v>4. Expone el Proyecto APT, considerando el formato y el tiempo establecido para la presentación.</v>
      </c>
      <c r="C54" s="16" t="s">
        <v>8</v>
      </c>
      <c r="D54" s="12" t="str">
        <f t="shared" si="18"/>
        <v>X</v>
      </c>
      <c r="E54" s="12">
        <f>IF(D54="X",100*0.05,"")</f>
        <v>5</v>
      </c>
      <c r="F54" s="12" t="str">
        <f t="shared" si="19"/>
        <v/>
      </c>
      <c r="G54" s="12" t="str">
        <f>IF(F54="X",60*0.05,"")</f>
        <v/>
      </c>
      <c r="H54" s="12" t="str">
        <f t="shared" si="20"/>
        <v/>
      </c>
      <c r="I54" s="12" t="str">
        <f>IF(H54="X",30*0.05,"")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5">
      <c r="A55" s="41"/>
      <c r="B55" s="18" t="str">
        <f>RUBRICA!A8</f>
        <v>5. Expresa sus ideas con fluidez, claridad y precisión, utilizando lenguaje técnico propio de la disciplina.</v>
      </c>
      <c r="C55" s="16" t="s">
        <v>8</v>
      </c>
      <c r="D55" s="12" t="s">
        <v>68</v>
      </c>
      <c r="E55" s="12" t="str">
        <f>IF(D55="X",100*0.05,"")</f>
        <v/>
      </c>
      <c r="F55" s="12" t="s">
        <v>67</v>
      </c>
      <c r="G55" s="12">
        <f>IF(F55="X",60*0.05,"")</f>
        <v>3</v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5">
      <c r="A56" s="41"/>
      <c r="B56" s="18" t="str">
        <f>RUBRICA!A9</f>
        <v>6. Entrega la documentación y evidencias requerida por la asignatura de acuerdo a la estructura y nombres solicitados, guardando todas las evidencias de avances en Git</v>
      </c>
      <c r="C56" s="16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2"/>
        <v/>
      </c>
    </row>
    <row r="57" spans="1:11" ht="24" customHeight="1" x14ac:dyDescent="0.25">
      <c r="A57" s="41"/>
      <c r="B57" s="18" t="str">
        <f>RUBRICA!A10</f>
        <v xml:space="preserve">7. Expone el tema utilizando un lenguaje técnico disciplinar al presentar la propuesta y responde evidenciando un manejo de la información. </v>
      </c>
      <c r="C57" s="16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3">
      <c r="A58" s="40"/>
      <c r="B58" s="17" t="s">
        <v>12</v>
      </c>
      <c r="C58" s="21">
        <f>E58+G58+I58+K58</f>
        <v>98</v>
      </c>
      <c r="D58" s="13"/>
      <c r="E58" s="13">
        <f>SUM(E51:E57)</f>
        <v>95</v>
      </c>
      <c r="F58" s="13"/>
      <c r="G58" s="13">
        <f>SUM(G51:G57)</f>
        <v>3</v>
      </c>
      <c r="H58" s="13"/>
      <c r="I58" s="13">
        <f>SUM(I51:I57)</f>
        <v>0</v>
      </c>
      <c r="J58" s="13"/>
      <c r="K58" s="13">
        <f>SUM(K51:K57)</f>
        <v>0</v>
      </c>
    </row>
    <row r="59" spans="1:11" ht="24" customHeight="1" x14ac:dyDescent="0.3">
      <c r="A59" s="42"/>
      <c r="B59" s="20" t="s">
        <v>13</v>
      </c>
      <c r="C59" s="14">
        <f>VLOOKUP(C58,ESCALA_IEP!A40:B240,2,FALSE)</f>
        <v>6.9</v>
      </c>
    </row>
    <row r="60" spans="1:11" ht="15.75" customHeight="1" x14ac:dyDescent="0.25"/>
    <row r="61" spans="1:11" ht="24" customHeight="1" x14ac:dyDescent="0.25">
      <c r="A61" s="48" t="s">
        <v>14</v>
      </c>
      <c r="B61" s="11" t="str">
        <f>B4</f>
        <v>CASTILLO PIZARRO LUCAS IGNACIO</v>
      </c>
      <c r="C61" s="43" t="s">
        <v>5</v>
      </c>
      <c r="D61" s="44" t="s">
        <v>6</v>
      </c>
      <c r="E61" s="45"/>
      <c r="F61" s="45"/>
      <c r="G61" s="45"/>
      <c r="H61" s="45"/>
      <c r="I61" s="45"/>
      <c r="J61" s="45"/>
      <c r="K61" s="46"/>
    </row>
    <row r="62" spans="1:11" ht="24" customHeight="1" x14ac:dyDescent="0.25">
      <c r="A62" s="40"/>
      <c r="B62" s="15" t="s">
        <v>7</v>
      </c>
      <c r="C62" s="42"/>
      <c r="D62" s="44" t="s">
        <v>8</v>
      </c>
      <c r="E62" s="46"/>
      <c r="F62" s="44" t="s">
        <v>9</v>
      </c>
      <c r="G62" s="46"/>
      <c r="H62" s="47" t="s">
        <v>10</v>
      </c>
      <c r="I62" s="46"/>
      <c r="J62" s="44" t="s">
        <v>11</v>
      </c>
      <c r="K62" s="46"/>
    </row>
    <row r="63" spans="1:11" ht="24" customHeight="1" x14ac:dyDescent="0.25">
      <c r="A63" s="41"/>
      <c r="B63" s="18" t="str">
        <f>RUBRICA!A4</f>
        <v xml:space="preserve">1. Presenta el proyecto considerando la relevancia, objetivos, metodología y desarrollo, de acuerdo a los estándares de calidad de la disciplina. </v>
      </c>
      <c r="C63" s="16" t="s">
        <v>8</v>
      </c>
      <c r="D63" s="12" t="str">
        <f t="shared" ref="D63:D67" si="23">IF($C63=CL,"X","")</f>
        <v>X</v>
      </c>
      <c r="E63" s="12">
        <f>IF(D63="X",100*0.15,"")</f>
        <v>15</v>
      </c>
      <c r="F63" s="12" t="str">
        <f t="shared" ref="F63:F67" si="24">IF($C63=L,"X","")</f>
        <v/>
      </c>
      <c r="G63" s="12" t="str">
        <f>IF(F63="X",60*0.15,"")</f>
        <v/>
      </c>
      <c r="H63" s="12" t="str">
        <f t="shared" ref="H63:H67" si="25">IF($C63=ML,"X","")</f>
        <v/>
      </c>
      <c r="I63" s="12" t="str">
        <f>IF(H63="X",30*0.15,"")</f>
        <v/>
      </c>
      <c r="J63" s="12" t="str">
        <f t="shared" ref="J63:J67" si="26">IF($C63=NL,"X","")</f>
        <v/>
      </c>
      <c r="K63" s="12" t="str">
        <f t="shared" ref="K63:K69" si="27">IF($J63="X",0,"")</f>
        <v/>
      </c>
    </row>
    <row r="64" spans="1:11" ht="24" customHeight="1" x14ac:dyDescent="0.25">
      <c r="A64" s="41"/>
      <c r="B64" s="18" t="str">
        <f>RUBRICA!A5</f>
        <v xml:space="preserve">2. Presenta las evidencias del Proyecto APT, dando cuenta del cumplimiento de los objetivos y de acuerdo a los estándares de la disciplina. </v>
      </c>
      <c r="C64" s="16" t="s">
        <v>8</v>
      </c>
      <c r="D64" s="12" t="str">
        <f t="shared" si="23"/>
        <v>X</v>
      </c>
      <c r="E64" s="12">
        <f>IF(D64="X",100*0.25,"")</f>
        <v>25</v>
      </c>
      <c r="F64" s="12" t="str">
        <f t="shared" si="24"/>
        <v/>
      </c>
      <c r="G64" s="12" t="str">
        <f>IF(F64="X",60*0.25,"")</f>
        <v/>
      </c>
      <c r="H64" s="12" t="str">
        <f t="shared" si="25"/>
        <v/>
      </c>
      <c r="I64" s="12" t="str">
        <f>IF(H64="X",30*0.25,"")</f>
        <v/>
      </c>
      <c r="J64" s="12" t="str">
        <f t="shared" si="26"/>
        <v/>
      </c>
      <c r="K64" s="12" t="str">
        <f t="shared" si="27"/>
        <v/>
      </c>
    </row>
    <row r="65" spans="1:11" ht="24" customHeight="1" x14ac:dyDescent="0.25">
      <c r="A65" s="41"/>
      <c r="B65" s="18" t="str">
        <f>RUBRICA!A6</f>
        <v>3. Responde las preguntas realizadas por la comisión, cumpliendo con los estándares de calidad de la disciplina.</v>
      </c>
      <c r="C65" s="16" t="s">
        <v>8</v>
      </c>
      <c r="D65" s="12" t="s">
        <v>67</v>
      </c>
      <c r="E65" s="12">
        <f>IF(D65="X",100*0.2,"")</f>
        <v>20</v>
      </c>
      <c r="F65" s="12" t="s">
        <v>68</v>
      </c>
      <c r="G65" s="12" t="str">
        <f>IF(F65="X",60*0.2,"")</f>
        <v/>
      </c>
      <c r="H65" s="12" t="str">
        <f t="shared" si="25"/>
        <v/>
      </c>
      <c r="I65" s="12" t="str">
        <f>IF(H65="X",30*0.2,"")</f>
        <v/>
      </c>
      <c r="J65" s="12" t="str">
        <f t="shared" si="26"/>
        <v/>
      </c>
      <c r="K65" s="12" t="str">
        <f t="shared" si="27"/>
        <v/>
      </c>
    </row>
    <row r="66" spans="1:11" ht="24" customHeight="1" x14ac:dyDescent="0.25">
      <c r="A66" s="41"/>
      <c r="B66" s="18" t="str">
        <f>RUBRICA!A7</f>
        <v>4. Expone el Proyecto APT, considerando el formato y el tiempo establecido para la presentación.</v>
      </c>
      <c r="C66" s="16" t="s">
        <v>8</v>
      </c>
      <c r="D66" s="12" t="str">
        <f t="shared" si="23"/>
        <v>X</v>
      </c>
      <c r="E66" s="12">
        <f>IF(D66="X",100*0.05,"")</f>
        <v>5</v>
      </c>
      <c r="F66" s="12" t="str">
        <f t="shared" si="24"/>
        <v/>
      </c>
      <c r="G66" s="12" t="str">
        <f>IF(F66="X",60*0.05,"")</f>
        <v/>
      </c>
      <c r="H66" s="12" t="str">
        <f t="shared" si="25"/>
        <v/>
      </c>
      <c r="I66" s="12" t="str">
        <f>IF(H66="X",30*0.05,"")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5">
      <c r="A67" s="41"/>
      <c r="B67" s="18" t="str">
        <f>RUBRICA!A8</f>
        <v>5. Expresa sus ideas con fluidez, claridad y precisión, utilizando lenguaje técnico propio de la disciplina.</v>
      </c>
      <c r="C67" s="16" t="s">
        <v>8</v>
      </c>
      <c r="D67" s="12" t="str">
        <f t="shared" si="23"/>
        <v>X</v>
      </c>
      <c r="E67" s="12">
        <f>IF(D67="X",100*0.05,"")</f>
        <v>5</v>
      </c>
      <c r="F67" s="12" t="str">
        <f t="shared" si="24"/>
        <v/>
      </c>
      <c r="G67" s="12" t="str">
        <f>IF(F67="X",60*0.05,"")</f>
        <v/>
      </c>
      <c r="H67" s="12" t="str">
        <f t="shared" si="25"/>
        <v/>
      </c>
      <c r="I67" s="12" t="str">
        <f>IF(H67="X",30*0.05,"")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5">
      <c r="A68" s="41"/>
      <c r="B68" s="18" t="str">
        <f>RUBRICA!A9</f>
        <v>6. Entrega la documentación y evidencias requerida por la asignatura de acuerdo a la estructura y nombres solicitados, guardando todas las evidencias de avances en Git</v>
      </c>
      <c r="C68" s="16" t="s">
        <v>8</v>
      </c>
      <c r="D68" s="12" t="str">
        <f>IF($C68=CL,"X","")</f>
        <v>X</v>
      </c>
      <c r="E68" s="12">
        <f>IF(D68="X",100*0.2,"")</f>
        <v>20</v>
      </c>
      <c r="F68" s="12" t="str">
        <f>IF($C68=L,"X","")</f>
        <v/>
      </c>
      <c r="G68" s="12" t="str">
        <f>IF(F68="X",60*0.2,"")</f>
        <v/>
      </c>
      <c r="H68" s="12" t="str">
        <f>IF($C68=ML,"X","")</f>
        <v/>
      </c>
      <c r="I68" s="12" t="str">
        <f>IF(H68="X",30*0.2,"")</f>
        <v/>
      </c>
      <c r="J68" s="12" t="str">
        <f>IF($C68=NL,"X","")</f>
        <v/>
      </c>
      <c r="K68" s="12" t="str">
        <f t="shared" si="27"/>
        <v/>
      </c>
    </row>
    <row r="69" spans="1:11" ht="24" customHeight="1" x14ac:dyDescent="0.25">
      <c r="A69" s="41"/>
      <c r="B69" s="18" t="str">
        <f>RUBRICA!A10</f>
        <v xml:space="preserve">7. Expone el tema utilizando un lenguaje técnico disciplinar al presentar la propuesta y responde evidenciando un manejo de la información. </v>
      </c>
      <c r="C69" s="16" t="s">
        <v>8</v>
      </c>
      <c r="D69" s="12" t="str">
        <f>IF($C69=CL,"X","")</f>
        <v>X</v>
      </c>
      <c r="E69" s="12">
        <f>IF(D69="X",100*0.1,"")</f>
        <v>10</v>
      </c>
      <c r="F69" s="12" t="str">
        <f>IF($C69=L,"X","")</f>
        <v/>
      </c>
      <c r="G69" s="12" t="str">
        <f>IF(F69="X",60*0.1,"")</f>
        <v/>
      </c>
      <c r="H69" s="12" t="str">
        <f>IF($C69=ML,"X","")</f>
        <v/>
      </c>
      <c r="I69" s="12" t="str">
        <f>IF(H69="X",30*0.1,"")</f>
        <v/>
      </c>
      <c r="J69" s="12" t="str">
        <f>IF($C69=NL,"X","")</f>
        <v/>
      </c>
      <c r="K69" s="12" t="str">
        <f t="shared" si="27"/>
        <v/>
      </c>
    </row>
    <row r="70" spans="1:11" ht="24" customHeight="1" x14ac:dyDescent="0.3">
      <c r="A70" s="40"/>
      <c r="B70" s="17" t="s">
        <v>12</v>
      </c>
      <c r="C70" s="21">
        <f>E70+G70+I70+K70</f>
        <v>100</v>
      </c>
      <c r="D70" s="13"/>
      <c r="E70" s="13">
        <f>SUM(E63:E69)</f>
        <v>100</v>
      </c>
      <c r="F70" s="13"/>
      <c r="G70" s="13">
        <f>SUM(G63:G69)</f>
        <v>0</v>
      </c>
      <c r="H70" s="13"/>
      <c r="I70" s="13">
        <f>SUM(I63:I69)</f>
        <v>0</v>
      </c>
      <c r="J70" s="13"/>
      <c r="K70" s="13">
        <f>SUM(K63:K69)</f>
        <v>0</v>
      </c>
    </row>
    <row r="71" spans="1:11" ht="24" customHeight="1" x14ac:dyDescent="0.3">
      <c r="A71" s="42"/>
      <c r="B71" s="20" t="s">
        <v>13</v>
      </c>
      <c r="C71" s="14">
        <f>VLOOKUP(C70,ESCALA_IEP!A41:B241,2,FALSE)</f>
        <v>7</v>
      </c>
    </row>
    <row r="72" spans="1:11" ht="15.75" customHeight="1" x14ac:dyDescent="0.25"/>
    <row r="73" spans="1:11" ht="15.75" customHeight="1" x14ac:dyDescent="0.25"/>
    <row r="74" spans="1:11" ht="24" customHeight="1" x14ac:dyDescent="0.25">
      <c r="A74" s="48" t="s">
        <v>15</v>
      </c>
      <c r="B74" s="11" t="str">
        <f>B5</f>
        <v>ESPINOZA REYES PRISCILA MARGARITA</v>
      </c>
      <c r="C74" s="43" t="s">
        <v>5</v>
      </c>
      <c r="D74" s="44" t="s">
        <v>6</v>
      </c>
      <c r="E74" s="45"/>
      <c r="F74" s="45"/>
      <c r="G74" s="45"/>
      <c r="H74" s="45"/>
      <c r="I74" s="45"/>
      <c r="J74" s="45"/>
      <c r="K74" s="46"/>
    </row>
    <row r="75" spans="1:11" ht="24" customHeight="1" x14ac:dyDescent="0.25">
      <c r="A75" s="40"/>
      <c r="B75" s="15" t="s">
        <v>7</v>
      </c>
      <c r="C75" s="42"/>
      <c r="D75" s="44" t="s">
        <v>8</v>
      </c>
      <c r="E75" s="46"/>
      <c r="F75" s="44" t="s">
        <v>9</v>
      </c>
      <c r="G75" s="46"/>
      <c r="H75" s="47" t="s">
        <v>10</v>
      </c>
      <c r="I75" s="46"/>
      <c r="J75" s="44" t="s">
        <v>11</v>
      </c>
      <c r="K75" s="46"/>
    </row>
    <row r="76" spans="1:11" ht="24" customHeight="1" x14ac:dyDescent="0.25">
      <c r="A76" s="41"/>
      <c r="B76" s="18" t="str">
        <f>RUBRICA!A4</f>
        <v xml:space="preserve">1. Presenta el proyecto considerando la relevancia, objetivos, metodología y desarrollo, de acuerdo a los estándares de calidad de la disciplina. </v>
      </c>
      <c r="C76" s="16" t="s">
        <v>8</v>
      </c>
      <c r="D76" s="12" t="str">
        <f t="shared" ref="D76:D80" si="28">IF($C76=CL,"X","")</f>
        <v>X</v>
      </c>
      <c r="E76" s="12">
        <f>IF(D76="X",100*0.15,"")</f>
        <v>15</v>
      </c>
      <c r="F76" s="12" t="str">
        <f t="shared" ref="F76:F80" si="29">IF($C76=L,"X","")</f>
        <v/>
      </c>
      <c r="G76" s="12" t="str">
        <f>IF(F76="X",60*0.15,"")</f>
        <v/>
      </c>
      <c r="H76" s="12" t="str">
        <f t="shared" ref="H76:H80" si="30">IF($C76=ML,"X","")</f>
        <v/>
      </c>
      <c r="I76" s="12" t="str">
        <f>IF(H76="X",30*0.15,"")</f>
        <v/>
      </c>
      <c r="J76" s="12" t="str">
        <f t="shared" ref="J76:J80" si="31">IF($C76=NL,"X","")</f>
        <v/>
      </c>
      <c r="K76" s="12" t="str">
        <f t="shared" ref="K76:K82" si="32">IF($J76="X",0,"")</f>
        <v/>
      </c>
    </row>
    <row r="77" spans="1:11" ht="24" customHeight="1" x14ac:dyDescent="0.25">
      <c r="A77" s="41"/>
      <c r="B77" s="18" t="str">
        <f>RUBRICA!A5</f>
        <v xml:space="preserve">2. Presenta las evidencias del Proyecto APT, dando cuenta del cumplimiento de los objetivos y de acuerdo a los estándares de la disciplina. </v>
      </c>
      <c r="C77" s="16" t="s">
        <v>8</v>
      </c>
      <c r="D77" s="12" t="str">
        <f t="shared" si="28"/>
        <v>X</v>
      </c>
      <c r="E77" s="12">
        <f>IF(D77="X",100*0.25,"")</f>
        <v>25</v>
      </c>
      <c r="F77" s="12" t="str">
        <f t="shared" si="29"/>
        <v/>
      </c>
      <c r="G77" s="12" t="str">
        <f>IF(F77="X",60*0.25,"")</f>
        <v/>
      </c>
      <c r="H77" s="12" t="str">
        <f t="shared" si="30"/>
        <v/>
      </c>
      <c r="I77" s="12" t="str">
        <f>IF(H77="X",30*0.25,"")</f>
        <v/>
      </c>
      <c r="J77" s="12" t="str">
        <f t="shared" si="31"/>
        <v/>
      </c>
      <c r="K77" s="12" t="str">
        <f t="shared" si="32"/>
        <v/>
      </c>
    </row>
    <row r="78" spans="1:11" ht="24" customHeight="1" x14ac:dyDescent="0.25">
      <c r="A78" s="41"/>
      <c r="B78" s="18" t="str">
        <f>RUBRICA!A6</f>
        <v>3. Responde las preguntas realizadas por la comisión, cumpliendo con los estándares de calidad de la disciplina.</v>
      </c>
      <c r="C78" s="16" t="s">
        <v>8</v>
      </c>
      <c r="D78" s="12" t="str">
        <f t="shared" si="28"/>
        <v>X</v>
      </c>
      <c r="E78" s="12">
        <f>IF(D78="X",100*0.2,"")</f>
        <v>20</v>
      </c>
      <c r="F78" s="12" t="str">
        <f t="shared" si="29"/>
        <v/>
      </c>
      <c r="G78" s="12" t="str">
        <f>IF(F78="X",60*0.2,"")</f>
        <v/>
      </c>
      <c r="H78" s="12" t="str">
        <f t="shared" si="30"/>
        <v/>
      </c>
      <c r="I78" s="12" t="str">
        <f>IF(H78="X",30*0.2,"")</f>
        <v/>
      </c>
      <c r="J78" s="12" t="str">
        <f t="shared" si="31"/>
        <v/>
      </c>
      <c r="K78" s="12" t="str">
        <f t="shared" si="32"/>
        <v/>
      </c>
    </row>
    <row r="79" spans="1:11" ht="24" customHeight="1" x14ac:dyDescent="0.25">
      <c r="A79" s="41"/>
      <c r="B79" s="18" t="str">
        <f>RUBRICA!A7</f>
        <v>4. Expone el Proyecto APT, considerando el formato y el tiempo establecido para la presentación.</v>
      </c>
      <c r="C79" s="16" t="s">
        <v>8</v>
      </c>
      <c r="D79" s="12" t="str">
        <f t="shared" si="28"/>
        <v>X</v>
      </c>
      <c r="E79" s="12">
        <f>IF(D79="X",100*0.05,"")</f>
        <v>5</v>
      </c>
      <c r="F79" s="12" t="str">
        <f t="shared" si="29"/>
        <v/>
      </c>
      <c r="G79" s="12" t="str">
        <f>IF(F79="X",60*0.05,"")</f>
        <v/>
      </c>
      <c r="H79" s="12" t="str">
        <f t="shared" si="30"/>
        <v/>
      </c>
      <c r="I79" s="12" t="str">
        <f>IF(H79="X",30*0.05,"")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5">
      <c r="A80" s="41"/>
      <c r="B80" s="18" t="str">
        <f>RUBRICA!A8</f>
        <v>5. Expresa sus ideas con fluidez, claridad y precisión, utilizando lenguaje técnico propio de la disciplina.</v>
      </c>
      <c r="C80" s="16" t="s">
        <v>8</v>
      </c>
      <c r="D80" s="12" t="str">
        <f t="shared" si="28"/>
        <v>X</v>
      </c>
      <c r="E80" s="12">
        <f>IF(D80="X",100*0.05,"")</f>
        <v>5</v>
      </c>
      <c r="F80" s="12" t="str">
        <f t="shared" si="29"/>
        <v/>
      </c>
      <c r="G80" s="12" t="str">
        <f>IF(F80="X",60*0.05,"")</f>
        <v/>
      </c>
      <c r="H80" s="12" t="str">
        <f t="shared" si="30"/>
        <v/>
      </c>
      <c r="I80" s="12" t="str">
        <f>IF(H80="X",30*0.05,"")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5">
      <c r="A81" s="41"/>
      <c r="B81" s="18" t="str">
        <f>RUBRICA!A9</f>
        <v>6. Entrega la documentación y evidencias requerida por la asignatura de acuerdo a la estructura y nombres solicitados, guardando todas las evidencias de avances en Git</v>
      </c>
      <c r="C81" s="16" t="s">
        <v>8</v>
      </c>
      <c r="D81" s="12" t="str">
        <f>IF($C81=CL,"X","")</f>
        <v>X</v>
      </c>
      <c r="E81" s="12">
        <f>IF(D81="X",100*0.2,"")</f>
        <v>20</v>
      </c>
      <c r="F81" s="12" t="str">
        <f>IF($C81=L,"X","")</f>
        <v/>
      </c>
      <c r="G81" s="12" t="str">
        <f>IF(F81="X",60*0.2,"")</f>
        <v/>
      </c>
      <c r="H81" s="12" t="str">
        <f>IF($C81=ML,"X","")</f>
        <v/>
      </c>
      <c r="I81" s="12" t="str">
        <f>IF(H81="X",30*0.2,"")</f>
        <v/>
      </c>
      <c r="J81" s="12" t="str">
        <f>IF($C81=NL,"X","")</f>
        <v/>
      </c>
      <c r="K81" s="12" t="str">
        <f t="shared" si="32"/>
        <v/>
      </c>
    </row>
    <row r="82" spans="1:11" ht="24" customHeight="1" x14ac:dyDescent="0.25">
      <c r="A82" s="41"/>
      <c r="B82" s="18" t="str">
        <f>RUBRICA!A10</f>
        <v xml:space="preserve">7. Expone el tema utilizando un lenguaje técnico disciplinar al presentar la propuesta y responde evidenciando un manejo de la información. </v>
      </c>
      <c r="C82" s="16" t="s">
        <v>8</v>
      </c>
      <c r="D82" s="12" t="str">
        <f>IF($C82=CL,"X","")</f>
        <v>X</v>
      </c>
      <c r="E82" s="12">
        <f>IF(D82="X",100*0.1,"")</f>
        <v>10</v>
      </c>
      <c r="F82" s="12" t="str">
        <f>IF($C82=L,"X","")</f>
        <v/>
      </c>
      <c r="G82" s="12" t="str">
        <f>IF(F82="X",60*0.1,"")</f>
        <v/>
      </c>
      <c r="H82" s="12" t="str">
        <f>IF($C82=ML,"X","")</f>
        <v/>
      </c>
      <c r="I82" s="12" t="str">
        <f>IF(H82="X",30*0.1,"")</f>
        <v/>
      </c>
      <c r="J82" s="12" t="str">
        <f>IF($C82=NL,"X","")</f>
        <v/>
      </c>
      <c r="K82" s="12" t="str">
        <f t="shared" si="32"/>
        <v/>
      </c>
    </row>
    <row r="83" spans="1:11" ht="24" customHeight="1" x14ac:dyDescent="0.3">
      <c r="A83" s="40"/>
      <c r="B83" s="17" t="s">
        <v>12</v>
      </c>
      <c r="C83" s="21">
        <f>E83+G83+I83+K83</f>
        <v>100</v>
      </c>
      <c r="D83" s="13"/>
      <c r="E83" s="13">
        <f>SUM(E76:E82)</f>
        <v>100</v>
      </c>
      <c r="F83" s="13"/>
      <c r="G83" s="13">
        <f>SUM(G76:G82)</f>
        <v>0</v>
      </c>
      <c r="H83" s="13"/>
      <c r="I83" s="13">
        <f>SUM(I76:I82)</f>
        <v>0</v>
      </c>
      <c r="J83" s="13"/>
      <c r="K83" s="13">
        <f>SUM(K76:K82)</f>
        <v>0</v>
      </c>
    </row>
    <row r="84" spans="1:11" ht="24" customHeight="1" x14ac:dyDescent="0.3">
      <c r="A84" s="42"/>
      <c r="B84" s="20" t="s">
        <v>13</v>
      </c>
      <c r="C84" s="14">
        <f>VLOOKUP(C83,ESCALA_IEP!A54:B254,2,FALSE)</f>
        <v>7</v>
      </c>
    </row>
    <row r="85" spans="1:11" ht="15.75" customHeight="1" x14ac:dyDescent="0.25"/>
    <row r="86" spans="1:11" ht="15.75" customHeight="1" x14ac:dyDescent="0.25"/>
    <row r="87" spans="1:11" ht="24" customHeight="1" x14ac:dyDescent="0.25">
      <c r="A87" s="48" t="s">
        <v>16</v>
      </c>
      <c r="B87" s="11" t="str">
        <f>B6</f>
        <v>MONTES LORCA LUIS ALBERTO</v>
      </c>
      <c r="C87" s="43" t="s">
        <v>5</v>
      </c>
      <c r="D87" s="44" t="s">
        <v>6</v>
      </c>
      <c r="E87" s="45"/>
      <c r="F87" s="45"/>
      <c r="G87" s="45"/>
      <c r="H87" s="45"/>
      <c r="I87" s="45"/>
      <c r="J87" s="45"/>
      <c r="K87" s="46"/>
    </row>
    <row r="88" spans="1:11" ht="24" customHeight="1" x14ac:dyDescent="0.25">
      <c r="A88" s="40"/>
      <c r="B88" s="15" t="s">
        <v>7</v>
      </c>
      <c r="C88" s="42"/>
      <c r="D88" s="44" t="s">
        <v>8</v>
      </c>
      <c r="E88" s="46"/>
      <c r="F88" s="44" t="s">
        <v>9</v>
      </c>
      <c r="G88" s="46"/>
      <c r="H88" s="47" t="s">
        <v>10</v>
      </c>
      <c r="I88" s="46"/>
      <c r="J88" s="44" t="s">
        <v>11</v>
      </c>
      <c r="K88" s="46"/>
    </row>
    <row r="89" spans="1:11" ht="24" customHeight="1" x14ac:dyDescent="0.25">
      <c r="A89" s="41"/>
      <c r="B89" s="18" t="str">
        <f>RUBRICA!A4</f>
        <v xml:space="preserve">1. Presenta el proyecto considerando la relevancia, objetivos, metodología y desarrollo, de acuerdo a los estándares de calidad de la disciplina. </v>
      </c>
      <c r="C89" s="16" t="s">
        <v>8</v>
      </c>
      <c r="D89" s="12" t="str">
        <f t="shared" ref="D89:D93" si="33">IF($C89=CL,"X","")</f>
        <v>X</v>
      </c>
      <c r="E89" s="12">
        <f>IF(D89="X",100*0.15,"")</f>
        <v>15</v>
      </c>
      <c r="F89" s="12" t="str">
        <f t="shared" ref="F89:F93" si="34">IF($C89=L,"X","")</f>
        <v/>
      </c>
      <c r="G89" s="12" t="str">
        <f>IF(F89="X",60*0.15,"")</f>
        <v/>
      </c>
      <c r="H89" s="12" t="str">
        <f t="shared" ref="H89:H93" si="35">IF($C89=ML,"X","")</f>
        <v/>
      </c>
      <c r="I89" s="12" t="str">
        <f>IF(H89="X",30*0.15,"")</f>
        <v/>
      </c>
      <c r="J89" s="12" t="str">
        <f t="shared" ref="J89:J93" si="36">IF($C89=NL,"X","")</f>
        <v/>
      </c>
      <c r="K89" s="12" t="str">
        <f t="shared" ref="K89:K95" si="37">IF($J89="X",0,"")</f>
        <v/>
      </c>
    </row>
    <row r="90" spans="1:11" ht="24" customHeight="1" x14ac:dyDescent="0.25">
      <c r="A90" s="41"/>
      <c r="B90" s="18" t="str">
        <f>RUBRICA!A5</f>
        <v xml:space="preserve">2. Presenta las evidencias del Proyecto APT, dando cuenta del cumplimiento de los objetivos y de acuerdo a los estándares de la disciplina. </v>
      </c>
      <c r="C90" s="16" t="s">
        <v>8</v>
      </c>
      <c r="D90" s="12" t="str">
        <f t="shared" si="33"/>
        <v>X</v>
      </c>
      <c r="E90" s="12">
        <f>IF(D90="X",100*0.25,"")</f>
        <v>25</v>
      </c>
      <c r="F90" s="12" t="str">
        <f t="shared" si="34"/>
        <v/>
      </c>
      <c r="G90" s="12" t="str">
        <f>IF(F90="X",60*0.25,"")</f>
        <v/>
      </c>
      <c r="H90" s="12" t="str">
        <f t="shared" si="35"/>
        <v/>
      </c>
      <c r="I90" s="12" t="str">
        <f>IF(H90="X",30*0.25,"")</f>
        <v/>
      </c>
      <c r="J90" s="12" t="str">
        <f t="shared" si="36"/>
        <v/>
      </c>
      <c r="K90" s="12" t="str">
        <f t="shared" si="37"/>
        <v/>
      </c>
    </row>
    <row r="91" spans="1:11" ht="24" customHeight="1" x14ac:dyDescent="0.25">
      <c r="A91" s="41"/>
      <c r="B91" s="18" t="str">
        <f>RUBRICA!A6</f>
        <v>3. Responde las preguntas realizadas por la comisión, cumpliendo con los estándares de calidad de la disciplina.</v>
      </c>
      <c r="C91" s="16" t="s">
        <v>8</v>
      </c>
      <c r="D91" s="12" t="str">
        <f t="shared" si="33"/>
        <v>X</v>
      </c>
      <c r="E91" s="12">
        <f>IF(D91="X",100*0.2,"")</f>
        <v>20</v>
      </c>
      <c r="F91" s="12" t="str">
        <f t="shared" si="34"/>
        <v/>
      </c>
      <c r="G91" s="12" t="str">
        <f>IF(F91="X",60*0.2,"")</f>
        <v/>
      </c>
      <c r="H91" s="12" t="str">
        <f t="shared" si="35"/>
        <v/>
      </c>
      <c r="I91" s="12" t="str">
        <f>IF(H91="X",30*0.2,"")</f>
        <v/>
      </c>
      <c r="J91" s="12" t="str">
        <f t="shared" si="36"/>
        <v/>
      </c>
      <c r="K91" s="12" t="str">
        <f t="shared" si="37"/>
        <v/>
      </c>
    </row>
    <row r="92" spans="1:11" ht="24" customHeight="1" x14ac:dyDescent="0.25">
      <c r="A92" s="41"/>
      <c r="B92" s="18" t="str">
        <f>RUBRICA!A7</f>
        <v>4. Expone el Proyecto APT, considerando el formato y el tiempo establecido para la presentación.</v>
      </c>
      <c r="C92" s="16" t="s">
        <v>8</v>
      </c>
      <c r="D92" s="12" t="str">
        <f t="shared" si="33"/>
        <v>X</v>
      </c>
      <c r="E92" s="12">
        <f>IF(D92="X",100*0.05,"")</f>
        <v>5</v>
      </c>
      <c r="F92" s="12" t="str">
        <f t="shared" si="34"/>
        <v/>
      </c>
      <c r="G92" s="12" t="str">
        <f>IF(F92="X",60*0.05,"")</f>
        <v/>
      </c>
      <c r="H92" s="12" t="str">
        <f t="shared" si="35"/>
        <v/>
      </c>
      <c r="I92" s="12" t="str">
        <f>IF(H92="X",30*0.05,"")</f>
        <v/>
      </c>
      <c r="J92" s="12" t="str">
        <f t="shared" si="36"/>
        <v/>
      </c>
      <c r="K92" s="12" t="str">
        <f t="shared" si="37"/>
        <v/>
      </c>
    </row>
    <row r="93" spans="1:11" ht="24" customHeight="1" x14ac:dyDescent="0.25">
      <c r="A93" s="41"/>
      <c r="B93" s="18" t="str">
        <f>RUBRICA!A8</f>
        <v>5. Expresa sus ideas con fluidez, claridad y precisión, utilizando lenguaje técnico propio de la disciplina.</v>
      </c>
      <c r="C93" s="16" t="s">
        <v>8</v>
      </c>
      <c r="D93" s="12" t="str">
        <f t="shared" si="33"/>
        <v>X</v>
      </c>
      <c r="E93" s="12">
        <f>IF(D93="X",100*0.05,"")</f>
        <v>5</v>
      </c>
      <c r="F93" s="12" t="str">
        <f t="shared" si="34"/>
        <v/>
      </c>
      <c r="G93" s="12" t="str">
        <f>IF(F93="X",60*0.05,"")</f>
        <v/>
      </c>
      <c r="H93" s="12" t="str">
        <f t="shared" si="35"/>
        <v/>
      </c>
      <c r="I93" s="12" t="str">
        <f>IF(H93="X",30*0.05,"")</f>
        <v/>
      </c>
      <c r="J93" s="12" t="str">
        <f t="shared" si="36"/>
        <v/>
      </c>
      <c r="K93" s="12" t="str">
        <f t="shared" si="37"/>
        <v/>
      </c>
    </row>
    <row r="94" spans="1:11" ht="24" customHeight="1" x14ac:dyDescent="0.25">
      <c r="A94" s="41"/>
      <c r="B94" s="18" t="str">
        <f>RUBRICA!A9</f>
        <v>6. Entrega la documentación y evidencias requerida por la asignatura de acuerdo a la estructura y nombres solicitados, guardando todas las evidencias de avances en Git</v>
      </c>
      <c r="C94" s="16" t="s">
        <v>8</v>
      </c>
      <c r="D94" s="12" t="str">
        <f>IF($C94=CL,"X","")</f>
        <v>X</v>
      </c>
      <c r="E94" s="12">
        <f>IF(D94="X",100*0.2,"")</f>
        <v>20</v>
      </c>
      <c r="F94" s="12" t="str">
        <f>IF($C94=L,"X","")</f>
        <v/>
      </c>
      <c r="G94" s="12" t="str">
        <f>IF(F94="X",60*0.2,"")</f>
        <v/>
      </c>
      <c r="H94" s="12" t="str">
        <f>IF($C94=ML,"X","")</f>
        <v/>
      </c>
      <c r="I94" s="12" t="str">
        <f>IF(H94="X",30*0.2,"")</f>
        <v/>
      </c>
      <c r="J94" s="12" t="str">
        <f>IF($C94=NL,"X","")</f>
        <v/>
      </c>
      <c r="K94" s="12" t="str">
        <f t="shared" si="37"/>
        <v/>
      </c>
    </row>
    <row r="95" spans="1:11" ht="24" customHeight="1" x14ac:dyDescent="0.25">
      <c r="A95" s="41"/>
      <c r="B95" s="18" t="str">
        <f>RUBRICA!A10</f>
        <v xml:space="preserve">7. Expone el tema utilizando un lenguaje técnico disciplinar al presentar la propuesta y responde evidenciando un manejo de la información. </v>
      </c>
      <c r="C95" s="16" t="s">
        <v>8</v>
      </c>
      <c r="D95" s="12" t="str">
        <f>IF($C95=CL,"X","")</f>
        <v>X</v>
      </c>
      <c r="E95" s="12">
        <f>IF(D95="X",100*0.1,"")</f>
        <v>10</v>
      </c>
      <c r="F95" s="12" t="str">
        <f>IF($C95=L,"X","")</f>
        <v/>
      </c>
      <c r="G95" s="12" t="str">
        <f>IF(F95="X",60*0.1,"")</f>
        <v/>
      </c>
      <c r="H95" s="12" t="str">
        <f>IF($C95=ML,"X","")</f>
        <v/>
      </c>
      <c r="I95" s="12" t="str">
        <f>IF(H95="X",30*0.1,"")</f>
        <v/>
      </c>
      <c r="J95" s="12" t="str">
        <f>IF($C95=NL,"X","")</f>
        <v/>
      </c>
      <c r="K95" s="12" t="str">
        <f t="shared" si="37"/>
        <v/>
      </c>
    </row>
    <row r="96" spans="1:11" ht="24" customHeight="1" x14ac:dyDescent="0.3">
      <c r="A96" s="40"/>
      <c r="B96" s="17" t="s">
        <v>12</v>
      </c>
      <c r="C96" s="21">
        <f>E96+G96+I96+K96</f>
        <v>100</v>
      </c>
      <c r="D96" s="13"/>
      <c r="E96" s="13">
        <f>SUM(E89:E95)</f>
        <v>100</v>
      </c>
      <c r="F96" s="13"/>
      <c r="G96" s="13">
        <f>SUM(G89:G95)</f>
        <v>0</v>
      </c>
      <c r="H96" s="13"/>
      <c r="I96" s="13">
        <f>SUM(I89:I95)</f>
        <v>0</v>
      </c>
      <c r="J96" s="13"/>
      <c r="K96" s="13">
        <f>SUM(K89:K95)</f>
        <v>0</v>
      </c>
    </row>
    <row r="97" spans="1:11" ht="24" customHeight="1" x14ac:dyDescent="0.3">
      <c r="A97" s="42"/>
      <c r="B97" s="20" t="s">
        <v>13</v>
      </c>
      <c r="C97" s="14">
        <f>VLOOKUP(C96,ESCALA_IEP!A67:B267,2,FALSE)</f>
        <v>7</v>
      </c>
    </row>
    <row r="98" spans="1:11" ht="15.75" customHeight="1" x14ac:dyDescent="0.25"/>
    <row r="99" spans="1:11" ht="15.75" customHeight="1" x14ac:dyDescent="0.25"/>
    <row r="100" spans="1:11" ht="24" customHeight="1" x14ac:dyDescent="0.25">
      <c r="A100" s="48" t="s">
        <v>16</v>
      </c>
      <c r="B100" s="11" t="str">
        <f>B7</f>
        <v>RIVEROS ROJAS CATALINA ANDREA</v>
      </c>
      <c r="C100" s="43" t="s">
        <v>5</v>
      </c>
      <c r="D100" s="44" t="s">
        <v>6</v>
      </c>
      <c r="E100" s="45"/>
      <c r="F100" s="45"/>
      <c r="G100" s="45"/>
      <c r="H100" s="45"/>
      <c r="I100" s="45"/>
      <c r="J100" s="45"/>
      <c r="K100" s="46"/>
    </row>
    <row r="101" spans="1:11" ht="24" customHeight="1" x14ac:dyDescent="0.25">
      <c r="A101" s="40"/>
      <c r="B101" s="15" t="s">
        <v>7</v>
      </c>
      <c r="C101" s="42"/>
      <c r="D101" s="44" t="s">
        <v>8</v>
      </c>
      <c r="E101" s="46"/>
      <c r="F101" s="44" t="s">
        <v>9</v>
      </c>
      <c r="G101" s="46"/>
      <c r="H101" s="47" t="s">
        <v>10</v>
      </c>
      <c r="I101" s="46"/>
      <c r="J101" s="44" t="s">
        <v>11</v>
      </c>
      <c r="K101" s="46"/>
    </row>
    <row r="102" spans="1:11" ht="24" customHeight="1" x14ac:dyDescent="0.25">
      <c r="A102" s="41"/>
      <c r="B102" s="18" t="str">
        <f>RUBRICA!A4</f>
        <v xml:space="preserve">1. Presenta el proyecto considerando la relevancia, objetivos, metodología y desarrollo, de acuerdo a los estándares de calidad de la disciplina. </v>
      </c>
      <c r="C102" s="16" t="s">
        <v>8</v>
      </c>
      <c r="D102" s="12" t="str">
        <f t="shared" ref="D102:D106" si="38">IF($C102=CL,"X","")</f>
        <v>X</v>
      </c>
      <c r="E102" s="12">
        <f>IF(D102="X",100*0.15,"")</f>
        <v>15</v>
      </c>
      <c r="F102" s="12" t="str">
        <f t="shared" ref="F102:F106" si="39">IF($C102=L,"X","")</f>
        <v/>
      </c>
      <c r="G102" s="12" t="str">
        <f>IF(F102="X",60*0.15,"")</f>
        <v/>
      </c>
      <c r="H102" s="12" t="str">
        <f t="shared" ref="H102:H106" si="40">IF($C102=ML,"X","")</f>
        <v/>
      </c>
      <c r="I102" s="12" t="str">
        <f>IF(H102="X",30*0.15,"")</f>
        <v/>
      </c>
      <c r="J102" s="12" t="str">
        <f t="shared" ref="J102:J106" si="41">IF($C102=NL,"X","")</f>
        <v/>
      </c>
      <c r="K102" s="12" t="str">
        <f t="shared" ref="K102:K108" si="42">IF($J102="X",0,"")</f>
        <v/>
      </c>
    </row>
    <row r="103" spans="1:11" ht="24" customHeight="1" x14ac:dyDescent="0.25">
      <c r="A103" s="41"/>
      <c r="B103" s="18" t="str">
        <f>RUBRICA!A5</f>
        <v xml:space="preserve">2. Presenta las evidencias del Proyecto APT, dando cuenta del cumplimiento de los objetivos y de acuerdo a los estándares de la disciplina. </v>
      </c>
      <c r="C103" s="16" t="s">
        <v>8</v>
      </c>
      <c r="D103" s="12" t="str">
        <f t="shared" si="38"/>
        <v>X</v>
      </c>
      <c r="E103" s="12">
        <f>IF(D103="X",100*0.25,"")</f>
        <v>25</v>
      </c>
      <c r="F103" s="12" t="str">
        <f t="shared" si="39"/>
        <v/>
      </c>
      <c r="G103" s="12" t="str">
        <f>IF(F103="X",60*0.25,"")</f>
        <v/>
      </c>
      <c r="H103" s="12" t="str">
        <f t="shared" si="40"/>
        <v/>
      </c>
      <c r="I103" s="12" t="str">
        <f>IF(H103="X",30*0.25,"")</f>
        <v/>
      </c>
      <c r="J103" s="12" t="str">
        <f t="shared" si="41"/>
        <v/>
      </c>
      <c r="K103" s="12" t="str">
        <f t="shared" si="42"/>
        <v/>
      </c>
    </row>
    <row r="104" spans="1:11" ht="24" customHeight="1" x14ac:dyDescent="0.25">
      <c r="A104" s="41"/>
      <c r="B104" s="18" t="str">
        <f>RUBRICA!A6</f>
        <v>3. Responde las preguntas realizadas por la comisión, cumpliendo con los estándares de calidad de la disciplina.</v>
      </c>
      <c r="C104" s="16" t="s">
        <v>8</v>
      </c>
      <c r="D104" s="12" t="str">
        <f t="shared" si="38"/>
        <v>X</v>
      </c>
      <c r="E104" s="12">
        <f>IF(D104="X",100*0.2,"")</f>
        <v>20</v>
      </c>
      <c r="F104" s="12" t="str">
        <f t="shared" si="39"/>
        <v/>
      </c>
      <c r="G104" s="12" t="str">
        <f>IF(F104="X",60*0.2,"")</f>
        <v/>
      </c>
      <c r="H104" s="12" t="str">
        <f t="shared" si="40"/>
        <v/>
      </c>
      <c r="I104" s="12" t="str">
        <f>IF(H104="X",30*0.2,"")</f>
        <v/>
      </c>
      <c r="J104" s="12" t="str">
        <f t="shared" si="41"/>
        <v/>
      </c>
      <c r="K104" s="12" t="str">
        <f t="shared" si="42"/>
        <v/>
      </c>
    </row>
    <row r="105" spans="1:11" ht="24" customHeight="1" x14ac:dyDescent="0.25">
      <c r="A105" s="41"/>
      <c r="B105" s="18" t="str">
        <f>RUBRICA!A7</f>
        <v>4. Expone el Proyecto APT, considerando el formato y el tiempo establecido para la presentación.</v>
      </c>
      <c r="C105" s="16" t="s">
        <v>8</v>
      </c>
      <c r="D105" s="12" t="str">
        <f t="shared" si="38"/>
        <v>X</v>
      </c>
      <c r="E105" s="12">
        <f>IF(D105="X",100*0.05,"")</f>
        <v>5</v>
      </c>
      <c r="F105" s="12" t="str">
        <f t="shared" si="39"/>
        <v/>
      </c>
      <c r="G105" s="12" t="str">
        <f>IF(F105="X",60*0.05,"")</f>
        <v/>
      </c>
      <c r="H105" s="12" t="str">
        <f t="shared" si="40"/>
        <v/>
      </c>
      <c r="I105" s="12" t="str">
        <f>IF(H105="X",30*0.05,"")</f>
        <v/>
      </c>
      <c r="J105" s="12" t="str">
        <f t="shared" si="41"/>
        <v/>
      </c>
      <c r="K105" s="12" t="str">
        <f t="shared" si="42"/>
        <v/>
      </c>
    </row>
    <row r="106" spans="1:11" ht="24" customHeight="1" x14ac:dyDescent="0.25">
      <c r="A106" s="41"/>
      <c r="B106" s="18" t="str">
        <f>RUBRICA!A8</f>
        <v>5. Expresa sus ideas con fluidez, claridad y precisión, utilizando lenguaje técnico propio de la disciplina.</v>
      </c>
      <c r="C106" s="16" t="s">
        <v>8</v>
      </c>
      <c r="D106" s="12" t="str">
        <f t="shared" si="38"/>
        <v>X</v>
      </c>
      <c r="E106" s="12">
        <f>IF(D106="X",100*0.05,"")</f>
        <v>5</v>
      </c>
      <c r="F106" s="12" t="str">
        <f t="shared" si="39"/>
        <v/>
      </c>
      <c r="G106" s="12" t="str">
        <f>IF(F106="X",60*0.05,"")</f>
        <v/>
      </c>
      <c r="H106" s="12" t="str">
        <f t="shared" si="40"/>
        <v/>
      </c>
      <c r="I106" s="12" t="str">
        <f>IF(H106="X",30*0.05,"")</f>
        <v/>
      </c>
      <c r="J106" s="12" t="str">
        <f t="shared" si="41"/>
        <v/>
      </c>
      <c r="K106" s="12" t="str">
        <f t="shared" si="42"/>
        <v/>
      </c>
    </row>
    <row r="107" spans="1:11" ht="24" customHeight="1" x14ac:dyDescent="0.25">
      <c r="A107" s="41"/>
      <c r="B107" s="18" t="str">
        <f>RUBRICA!A9</f>
        <v>6. Entrega la documentación y evidencias requerida por la asignatura de acuerdo a la estructura y nombres solicitados, guardando todas las evidencias de avances en Git</v>
      </c>
      <c r="C107" s="16" t="s">
        <v>8</v>
      </c>
      <c r="D107" s="12" t="str">
        <f>IF($C107=CL,"X","")</f>
        <v>X</v>
      </c>
      <c r="E107" s="12">
        <f>IF(D107="X",100*0.2,"")</f>
        <v>20</v>
      </c>
      <c r="F107" s="12" t="str">
        <f>IF($C107=L,"X","")</f>
        <v/>
      </c>
      <c r="G107" s="12" t="str">
        <f>IF(F107="X",60*0.2,"")</f>
        <v/>
      </c>
      <c r="H107" s="12" t="str">
        <f>IF($C107=ML,"X","")</f>
        <v/>
      </c>
      <c r="I107" s="12" t="str">
        <f>IF(H107="X",30*0.2,"")</f>
        <v/>
      </c>
      <c r="J107" s="12" t="str">
        <f>IF($C107=NL,"X","")</f>
        <v/>
      </c>
      <c r="K107" s="12" t="str">
        <f t="shared" si="42"/>
        <v/>
      </c>
    </row>
    <row r="108" spans="1:11" ht="24" customHeight="1" x14ac:dyDescent="0.25">
      <c r="A108" s="41"/>
      <c r="B108" s="18" t="str">
        <f>RUBRICA!A10</f>
        <v xml:space="preserve">7. Expone el tema utilizando un lenguaje técnico disciplinar al presentar la propuesta y responde evidenciando un manejo de la información. </v>
      </c>
      <c r="C108" s="16" t="s">
        <v>8</v>
      </c>
      <c r="D108" s="12" t="str">
        <f>IF($C108=CL,"X","")</f>
        <v>X</v>
      </c>
      <c r="E108" s="12">
        <f>IF(D108="X",100*0.1,"")</f>
        <v>10</v>
      </c>
      <c r="F108" s="12" t="str">
        <f>IF($C108=L,"X","")</f>
        <v/>
      </c>
      <c r="G108" s="12" t="str">
        <f>IF(F108="X",60*0.1,"")</f>
        <v/>
      </c>
      <c r="H108" s="12" t="str">
        <f>IF($C108=ML,"X","")</f>
        <v/>
      </c>
      <c r="I108" s="12" t="str">
        <f>IF(H108="X",30*0.1,"")</f>
        <v/>
      </c>
      <c r="J108" s="12" t="str">
        <f>IF($C108=NL,"X","")</f>
        <v/>
      </c>
      <c r="K108" s="12" t="str">
        <f t="shared" si="42"/>
        <v/>
      </c>
    </row>
    <row r="109" spans="1:11" ht="24" customHeight="1" x14ac:dyDescent="0.3">
      <c r="A109" s="40"/>
      <c r="B109" s="17" t="s">
        <v>12</v>
      </c>
      <c r="C109" s="21">
        <f>E109+G109+I109+K109</f>
        <v>100</v>
      </c>
      <c r="D109" s="13"/>
      <c r="E109" s="13">
        <f>SUM(E102:E108)</f>
        <v>100</v>
      </c>
      <c r="F109" s="13"/>
      <c r="G109" s="13">
        <f>SUM(G102:G108)</f>
        <v>0</v>
      </c>
      <c r="H109" s="13"/>
      <c r="I109" s="13">
        <f>SUM(I102:I108)</f>
        <v>0</v>
      </c>
      <c r="J109" s="13"/>
      <c r="K109" s="13">
        <f>SUM(K102:K108)</f>
        <v>0</v>
      </c>
    </row>
    <row r="110" spans="1:11" ht="24" customHeight="1" x14ac:dyDescent="0.3">
      <c r="A110" s="42"/>
      <c r="B110" s="20" t="s">
        <v>13</v>
      </c>
      <c r="C110" s="14">
        <f>VLOOKUP(C109,ESCALA_IEP!A80:B280,2,FALSE)</f>
        <v>7</v>
      </c>
    </row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</sheetData>
  <mergeCells count="56">
    <mergeCell ref="A100:A110"/>
    <mergeCell ref="C100:C101"/>
    <mergeCell ref="D100:K100"/>
    <mergeCell ref="D101:E101"/>
    <mergeCell ref="F101:G101"/>
    <mergeCell ref="H101:I101"/>
    <mergeCell ref="J101:K101"/>
    <mergeCell ref="A49:A59"/>
    <mergeCell ref="C49:C50"/>
    <mergeCell ref="D49:K49"/>
    <mergeCell ref="D50:E50"/>
    <mergeCell ref="F50:G50"/>
    <mergeCell ref="H50:I50"/>
    <mergeCell ref="J50:K50"/>
    <mergeCell ref="A87:A97"/>
    <mergeCell ref="C87:C88"/>
    <mergeCell ref="D87:K87"/>
    <mergeCell ref="D88:E88"/>
    <mergeCell ref="F88:G88"/>
    <mergeCell ref="H88:I88"/>
    <mergeCell ref="J88:K88"/>
    <mergeCell ref="A74:A84"/>
    <mergeCell ref="C74:C75"/>
    <mergeCell ref="D74:K74"/>
    <mergeCell ref="D75:E75"/>
    <mergeCell ref="F75:G75"/>
    <mergeCell ref="H75:I75"/>
    <mergeCell ref="J75:K75"/>
    <mergeCell ref="D24:K24"/>
    <mergeCell ref="D25:E25"/>
    <mergeCell ref="F25:G25"/>
    <mergeCell ref="H25:I25"/>
    <mergeCell ref="J25:K25"/>
    <mergeCell ref="A61:A71"/>
    <mergeCell ref="C61:C62"/>
    <mergeCell ref="D61:K61"/>
    <mergeCell ref="D62:E62"/>
    <mergeCell ref="F62:G62"/>
    <mergeCell ref="H62:I62"/>
    <mergeCell ref="J62:K62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C63:C69 C76:C82 C89:C95 C51:C57 C102:C108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2025-12-10T04:58:24Z</dcterms:modified>
  <cp:category/>
  <cp:contentStatus/>
</cp:coreProperties>
</file>